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30" windowWidth="20115" windowHeight="8010"/>
  </bookViews>
  <sheets>
    <sheet name="Hoja1" sheetId="1" r:id="rId1"/>
    <sheet name="Nómina" sheetId="2" r:id="rId2"/>
    <sheet name="Hoja3" sheetId="3" r:id="rId3"/>
  </sheets>
  <calcPr calcId="125725"/>
</workbook>
</file>

<file path=xl/calcChain.xml><?xml version="1.0" encoding="utf-8"?>
<calcChain xmlns="http://schemas.openxmlformats.org/spreadsheetml/2006/main">
  <c r="J2" i="1"/>
  <c r="D10" i="2"/>
  <c r="E10"/>
  <c r="F10"/>
  <c r="G10"/>
  <c r="H10"/>
  <c r="I10"/>
  <c r="C10"/>
  <c r="I4"/>
  <c r="G4"/>
  <c r="H4"/>
  <c r="F4"/>
  <c r="E4"/>
  <c r="D4"/>
  <c r="C3" i="1"/>
  <c r="C4"/>
  <c r="C5"/>
  <c r="C6"/>
  <c r="C2"/>
  <c r="H6"/>
  <c r="K6" s="1"/>
  <c r="K3"/>
  <c r="K4"/>
  <c r="H3"/>
  <c r="I3" s="1"/>
  <c r="H4"/>
  <c r="I4" s="1"/>
  <c r="H5"/>
  <c r="K5" s="1"/>
  <c r="J4"/>
  <c r="J3"/>
  <c r="H2"/>
  <c r="K2" s="1"/>
  <c r="I5" l="1"/>
  <c r="J5"/>
  <c r="I2"/>
  <c r="I6"/>
  <c r="J6"/>
</calcChain>
</file>

<file path=xl/sharedStrings.xml><?xml version="1.0" encoding="utf-8"?>
<sst xmlns="http://schemas.openxmlformats.org/spreadsheetml/2006/main" count="46" uniqueCount="33">
  <si>
    <t>NOMBRE DEL ALUMNO</t>
  </si>
  <si>
    <t>MATEMATICAS</t>
  </si>
  <si>
    <t>ESPAÑOL</t>
  </si>
  <si>
    <t>HISTORIA</t>
  </si>
  <si>
    <t>GEOGRAFÍA</t>
  </si>
  <si>
    <t>PROMEDIO CON FUNCIÓN</t>
  </si>
  <si>
    <t>PROMEDIO CON FÓRMULA</t>
  </si>
  <si>
    <t>Eduardo</t>
  </si>
  <si>
    <t>Nancy</t>
  </si>
  <si>
    <t>ESTATUS CON FUN</t>
  </si>
  <si>
    <t>ESTATUS CON MARCOS</t>
  </si>
  <si>
    <t>Nayeli</t>
  </si>
  <si>
    <t>Alejandro</t>
  </si>
  <si>
    <t>ESTATUS CON FORMULA</t>
  </si>
  <si>
    <t>PAOLA</t>
  </si>
  <si>
    <t>REPROBADO</t>
  </si>
  <si>
    <t>EDAD</t>
  </si>
  <si>
    <t>MAYOR O MENOR DE EDAD(FUNCION)</t>
  </si>
  <si>
    <t>MES</t>
  </si>
  <si>
    <t>DÍAS</t>
  </si>
  <si>
    <t>PAGO X DIA</t>
  </si>
  <si>
    <t>PAGO BRUTO</t>
  </si>
  <si>
    <t>IVA TRASLADADO</t>
  </si>
  <si>
    <t>SUBTOTAL</t>
  </si>
  <si>
    <t>IVA RETENIDO</t>
  </si>
  <si>
    <t>ISR RETENIDO</t>
  </si>
  <si>
    <t>PAGO NETO</t>
  </si>
  <si>
    <t>ENERO</t>
  </si>
  <si>
    <t>columna es fija o absoluta (columna N-promedio)</t>
  </si>
  <si>
    <t>APROBADO</t>
  </si>
  <si>
    <t>promedio ciclo</t>
  </si>
  <si>
    <t>MENOR DE EDAD</t>
  </si>
  <si>
    <t>EDADCON MACROS</t>
  </si>
</sst>
</file>

<file path=xl/styles.xml><?xml version="1.0" encoding="utf-8"?>
<styleSheet xmlns="http://schemas.openxmlformats.org/spreadsheetml/2006/main">
  <numFmts count="3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0000_-;\-&quot;$&quot;* #,##0.00000_-;_-&quot;$&quot;* &quot;-&quot;??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 vertical="center" wrapText="1"/>
    </xf>
    <xf numFmtId="8" fontId="0" fillId="0" borderId="0" xfId="0" applyNumberFormat="1"/>
    <xf numFmtId="9" fontId="0" fillId="0" borderId="0" xfId="0" applyNumberFormat="1"/>
    <xf numFmtId="164" fontId="0" fillId="0" borderId="0" xfId="1" applyNumberFormat="1" applyFont="1"/>
    <xf numFmtId="8" fontId="2" fillId="0" borderId="0" xfId="0" applyNumberFormat="1" applyFont="1"/>
    <xf numFmtId="0" fontId="2" fillId="0" borderId="0" xfId="0" applyFont="1"/>
    <xf numFmtId="44" fontId="0" fillId="0" borderId="0" xfId="1" applyFont="1"/>
    <xf numFmtId="0" fontId="0" fillId="0" borderId="0" xfId="0" applyFont="1"/>
  </cellXfs>
  <cellStyles count="2">
    <cellStyle name="Moneda" xfId="1" builtinId="4"/>
    <cellStyle name="Normal" xfId="0" builtinId="0"/>
  </cellStyles>
  <dxfs count="2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108857</xdr:colOff>
      <xdr:row>0</xdr:row>
      <xdr:rowOff>272143</xdr:rowOff>
    </xdr:from>
    <xdr:to>
      <xdr:col>15</xdr:col>
      <xdr:colOff>666750</xdr:colOff>
      <xdr:row>0</xdr:row>
      <xdr:rowOff>734786</xdr:rowOff>
    </xdr:to>
    <xdr:sp macro="[0]!calculo" textlink="">
      <xdr:nvSpPr>
        <xdr:cNvPr id="2" name="1 Rectángulo"/>
        <xdr:cNvSpPr/>
      </xdr:nvSpPr>
      <xdr:spPr>
        <a:xfrm>
          <a:off x="12926786" y="272143"/>
          <a:ext cx="557893" cy="46264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MX" sz="1100"/>
            <a:t>Prom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57150</xdr:colOff>
      <xdr:row>38</xdr:row>
      <xdr:rowOff>76200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O6"/>
  <sheetViews>
    <sheetView tabSelected="1" zoomScale="70" zoomScaleNormal="70" workbookViewId="0">
      <selection activeCell="M2" sqref="M2"/>
    </sheetView>
  </sheetViews>
  <sheetFormatPr baseColWidth="10" defaultRowHeight="15"/>
  <cols>
    <col min="1" max="2" width="13.28515625" customWidth="1"/>
    <col min="3" max="3" width="18.7109375" bestFit="1" customWidth="1"/>
    <col min="4" max="4" width="14" bestFit="1" customWidth="1"/>
    <col min="5" max="5" width="9.140625" bestFit="1" customWidth="1"/>
    <col min="6" max="6" width="9.28515625" bestFit="1" customWidth="1"/>
    <col min="7" max="7" width="11.28515625" bestFit="1" customWidth="1"/>
    <col min="8" max="8" width="10.7109375" bestFit="1" customWidth="1"/>
    <col min="9" max="9" width="15.5703125" customWidth="1"/>
    <col min="11" max="11" width="15.85546875" customWidth="1"/>
    <col min="12" max="12" width="15.140625" customWidth="1"/>
  </cols>
  <sheetData>
    <row r="1" spans="1:15" ht="75">
      <c r="A1" s="1" t="s">
        <v>0</v>
      </c>
      <c r="B1" s="1" t="s">
        <v>16</v>
      </c>
      <c r="C1" s="1" t="s">
        <v>17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6</v>
      </c>
      <c r="I1" s="1" t="s">
        <v>9</v>
      </c>
      <c r="J1" s="1" t="s">
        <v>5</v>
      </c>
      <c r="K1" s="1" t="s">
        <v>13</v>
      </c>
      <c r="L1" s="1" t="s">
        <v>10</v>
      </c>
      <c r="M1" s="1" t="s">
        <v>32</v>
      </c>
      <c r="N1" s="1" t="s">
        <v>28</v>
      </c>
      <c r="O1" s="1" t="s">
        <v>30</v>
      </c>
    </row>
    <row r="2" spans="1:15">
      <c r="A2" t="s">
        <v>7</v>
      </c>
      <c r="B2">
        <v>30</v>
      </c>
      <c r="C2" t="str">
        <f>IF(B2&gt;=18,"MAYOR DE EDAD","MENOR DE EDAD")</f>
        <v>MAYOR DE EDAD</v>
      </c>
      <c r="D2">
        <v>3</v>
      </c>
      <c r="E2">
        <v>3</v>
      </c>
      <c r="F2">
        <v>7</v>
      </c>
      <c r="G2">
        <v>9</v>
      </c>
      <c r="H2">
        <f>(D2+E2+F2+G2)/4</f>
        <v>5.5</v>
      </c>
      <c r="I2" t="str">
        <f>IF(H2&gt;=6,"APROBADO","REPROBADO")</f>
        <v>REPROBADO</v>
      </c>
      <c r="J2">
        <f>AVERAGE(D2:H2)</f>
        <v>5.5</v>
      </c>
      <c r="K2" t="str">
        <f>IF(H2&gt;=6,"APROBADO","REPORBADO")</f>
        <v>REPORBADO</v>
      </c>
      <c r="L2" t="s">
        <v>15</v>
      </c>
      <c r="M2" t="s">
        <v>31</v>
      </c>
      <c r="O2">
        <v>5.5</v>
      </c>
    </row>
    <row r="3" spans="1:15">
      <c r="A3" t="s">
        <v>8</v>
      </c>
      <c r="B3">
        <v>20</v>
      </c>
      <c r="C3" t="str">
        <f t="shared" ref="C3:C6" si="0">IF(B3&gt;=18,"MAYOR DE EDAD","MENOR DE EDAD")</f>
        <v>MAYOR DE EDAD</v>
      </c>
      <c r="D3">
        <v>9</v>
      </c>
      <c r="E3">
        <v>10</v>
      </c>
      <c r="F3">
        <v>8</v>
      </c>
      <c r="G3">
        <v>8</v>
      </c>
      <c r="H3">
        <f t="shared" ref="H3:H6" si="1">(D3+E3+F3+G3)/4</f>
        <v>8.75</v>
      </c>
      <c r="I3" t="str">
        <f t="shared" ref="I3:I6" si="2">IF(H3&gt;=6,"APROBADO","REPROBADO")</f>
        <v>APROBADO</v>
      </c>
      <c r="J3">
        <f>AVERAGE(D3:H3)</f>
        <v>8.75</v>
      </c>
      <c r="K3" t="str">
        <f t="shared" ref="K3:K6" si="3">IF(H3&gt;=6,"APROBADO","REPORBADO")</f>
        <v>APROBADO</v>
      </c>
      <c r="L3" t="s">
        <v>29</v>
      </c>
      <c r="O3">
        <v>8.75</v>
      </c>
    </row>
    <row r="4" spans="1:15">
      <c r="A4" t="s">
        <v>11</v>
      </c>
      <c r="B4">
        <v>20</v>
      </c>
      <c r="C4" t="str">
        <f t="shared" si="0"/>
        <v>MAYOR DE EDAD</v>
      </c>
      <c r="D4">
        <v>9</v>
      </c>
      <c r="E4">
        <v>8</v>
      </c>
      <c r="F4">
        <v>9</v>
      </c>
      <c r="G4">
        <v>7</v>
      </c>
      <c r="H4">
        <f t="shared" si="1"/>
        <v>8.25</v>
      </c>
      <c r="I4" t="str">
        <f t="shared" si="2"/>
        <v>APROBADO</v>
      </c>
      <c r="J4">
        <f>AVERAGE(D4:H4)</f>
        <v>8.25</v>
      </c>
      <c r="K4" t="str">
        <f t="shared" si="3"/>
        <v>APROBADO</v>
      </c>
      <c r="L4" t="s">
        <v>29</v>
      </c>
      <c r="O4">
        <v>8.25</v>
      </c>
    </row>
    <row r="5" spans="1:15">
      <c r="A5" t="s">
        <v>12</v>
      </c>
      <c r="B5">
        <v>15</v>
      </c>
      <c r="C5" t="str">
        <f t="shared" si="0"/>
        <v>MENOR DE EDAD</v>
      </c>
      <c r="D5">
        <v>3</v>
      </c>
      <c r="E5">
        <v>2</v>
      </c>
      <c r="F5">
        <v>5</v>
      </c>
      <c r="G5">
        <v>7</v>
      </c>
      <c r="H5">
        <f t="shared" si="1"/>
        <v>4.25</v>
      </c>
      <c r="I5" t="str">
        <f t="shared" si="2"/>
        <v>REPROBADO</v>
      </c>
      <c r="J5">
        <f>AVERAGE(D5:H5)</f>
        <v>4.25</v>
      </c>
      <c r="K5" t="str">
        <f t="shared" si="3"/>
        <v>REPORBADO</v>
      </c>
      <c r="L5" t="s">
        <v>15</v>
      </c>
      <c r="O5">
        <v>4.25</v>
      </c>
    </row>
    <row r="6" spans="1:15">
      <c r="A6" t="s">
        <v>14</v>
      </c>
      <c r="B6">
        <v>30</v>
      </c>
      <c r="C6" t="str">
        <f t="shared" si="0"/>
        <v>MAYOR DE EDAD</v>
      </c>
      <c r="D6">
        <v>6</v>
      </c>
      <c r="E6">
        <v>6</v>
      </c>
      <c r="F6">
        <v>6</v>
      </c>
      <c r="G6">
        <v>6</v>
      </c>
      <c r="H6">
        <f t="shared" si="1"/>
        <v>6</v>
      </c>
      <c r="I6" t="str">
        <f t="shared" si="2"/>
        <v>APROBADO</v>
      </c>
      <c r="J6">
        <f>AVERAGE(D6:H6)</f>
        <v>6</v>
      </c>
      <c r="K6" t="str">
        <f t="shared" si="3"/>
        <v>APROBADO</v>
      </c>
      <c r="L6" t="s">
        <v>29</v>
      </c>
      <c r="O6" s="8">
        <v>6</v>
      </c>
    </row>
  </sheetData>
  <conditionalFormatting sqref="I2:I6">
    <cfRule type="containsText" dxfId="1" priority="1" operator="containsText" text="REPROBADO">
      <formula>NOT(ISERROR(SEARCH("REPROBADO",I2)))</formula>
    </cfRule>
    <cfRule type="containsText" dxfId="0" priority="2" operator="containsText" text="APROBADO">
      <formula>NOT(ISERROR(SEARCH("APROBADO",I2)))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2:L14"/>
  <sheetViews>
    <sheetView workbookViewId="0">
      <selection activeCell="E14" sqref="E14"/>
    </sheetView>
  </sheetViews>
  <sheetFormatPr baseColWidth="10" defaultRowHeight="15"/>
  <cols>
    <col min="6" max="6" width="11.85546875" bestFit="1" customWidth="1"/>
  </cols>
  <sheetData>
    <row r="2" spans="1:12">
      <c r="K2" s="4"/>
      <c r="L2" s="3"/>
    </row>
    <row r="3" spans="1:12">
      <c r="A3" t="s">
        <v>18</v>
      </c>
      <c r="B3" t="s">
        <v>19</v>
      </c>
      <c r="C3" t="s">
        <v>20</v>
      </c>
      <c r="D3" t="s">
        <v>21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</row>
    <row r="4" spans="1:12">
      <c r="A4">
        <v>1</v>
      </c>
      <c r="B4">
        <v>31</v>
      </c>
      <c r="C4" s="2">
        <v>250</v>
      </c>
      <c r="D4" s="2">
        <f>C4*B4</f>
        <v>7750</v>
      </c>
      <c r="E4" s="2">
        <f>D4*0.16</f>
        <v>1240</v>
      </c>
      <c r="F4" s="2">
        <f>SUM(D4:E4)</f>
        <v>8990</v>
      </c>
      <c r="G4" s="2">
        <f>2/3*E4</f>
        <v>826.66666666666663</v>
      </c>
      <c r="H4" s="2">
        <f>D4*0.1</f>
        <v>775</v>
      </c>
      <c r="I4" s="5">
        <f>F4-G4-H4</f>
        <v>7388.333333333333</v>
      </c>
    </row>
    <row r="7" spans="1:12">
      <c r="A7" t="s">
        <v>18</v>
      </c>
      <c r="B7" t="s">
        <v>19</v>
      </c>
      <c r="C7" t="s">
        <v>20</v>
      </c>
      <c r="D7" t="s">
        <v>21</v>
      </c>
      <c r="E7" t="s">
        <v>22</v>
      </c>
      <c r="F7" t="s">
        <v>23</v>
      </c>
      <c r="G7" t="s">
        <v>24</v>
      </c>
      <c r="H7" t="s">
        <v>25</v>
      </c>
      <c r="I7" t="s">
        <v>26</v>
      </c>
    </row>
    <row r="8" spans="1:12">
      <c r="A8" t="s">
        <v>27</v>
      </c>
      <c r="B8">
        <v>31</v>
      </c>
      <c r="C8" s="7">
        <v>250</v>
      </c>
      <c r="D8" s="7">
        <v>7750</v>
      </c>
      <c r="E8" s="7">
        <v>1240</v>
      </c>
      <c r="F8" s="7">
        <v>8990</v>
      </c>
      <c r="G8" s="7">
        <v>826.66666666666663</v>
      </c>
      <c r="H8" s="7">
        <v>775</v>
      </c>
      <c r="I8" s="7">
        <v>7388.333333333333</v>
      </c>
    </row>
    <row r="10" spans="1:12">
      <c r="C10" s="2">
        <f>C4-C8</f>
        <v>0</v>
      </c>
      <c r="D10" s="2">
        <f t="shared" ref="D10:I10" si="0">D4-D8</f>
        <v>0</v>
      </c>
      <c r="E10" s="2">
        <f t="shared" si="0"/>
        <v>0</v>
      </c>
      <c r="F10" s="2">
        <f t="shared" si="0"/>
        <v>0</v>
      </c>
      <c r="G10" s="2">
        <f t="shared" si="0"/>
        <v>0</v>
      </c>
      <c r="H10" s="2">
        <f t="shared" si="0"/>
        <v>0</v>
      </c>
      <c r="I10" s="2">
        <f t="shared" si="0"/>
        <v>0</v>
      </c>
    </row>
    <row r="14" spans="1:12">
      <c r="E14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J2:O6"/>
  <sheetViews>
    <sheetView topLeftCell="A14" workbookViewId="0"/>
  </sheetViews>
  <sheetFormatPr baseColWidth="10" defaultRowHeight="15"/>
  <sheetData>
    <row r="2" spans="10:15">
      <c r="J2" t="s">
        <v>15</v>
      </c>
      <c r="O2">
        <v>0</v>
      </c>
    </row>
    <row r="3" spans="10:15">
      <c r="O3">
        <v>0</v>
      </c>
    </row>
    <row r="4" spans="10:15">
      <c r="O4">
        <v>0</v>
      </c>
    </row>
    <row r="5" spans="10:15">
      <c r="O5">
        <v>0</v>
      </c>
    </row>
    <row r="6" spans="10:15">
      <c r="O6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Nómina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Nancy</dc:creator>
  <cp:lastModifiedBy>Nancy</cp:lastModifiedBy>
  <dcterms:created xsi:type="dcterms:W3CDTF">2022-02-19T00:08:12Z</dcterms:created>
  <dcterms:modified xsi:type="dcterms:W3CDTF">2022-02-26T01:51:04Z</dcterms:modified>
</cp:coreProperties>
</file>