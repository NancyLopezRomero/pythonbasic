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 activeTab="1"/>
  </bookViews>
  <sheets>
    <sheet name="Hoja1" sheetId="1" r:id="rId1"/>
    <sheet name="Nómina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I4" i="2"/>
  <c r="G4"/>
  <c r="H4"/>
  <c r="F4"/>
  <c r="E4"/>
  <c r="D4"/>
  <c r="C3" i="1"/>
  <c r="C4"/>
  <c r="C5"/>
  <c r="C6"/>
  <c r="C2"/>
  <c r="I6"/>
  <c r="L6" s="1"/>
  <c r="L3"/>
  <c r="L4"/>
  <c r="L5"/>
  <c r="J3"/>
  <c r="J4"/>
  <c r="J5"/>
  <c r="K5"/>
  <c r="I3"/>
  <c r="I4"/>
  <c r="I5"/>
  <c r="K4"/>
  <c r="K3"/>
  <c r="K2"/>
  <c r="I2"/>
  <c r="L2" s="1"/>
  <c r="J2" l="1"/>
  <c r="J6"/>
  <c r="K6"/>
</calcChain>
</file>

<file path=xl/sharedStrings.xml><?xml version="1.0" encoding="utf-8"?>
<sst xmlns="http://schemas.openxmlformats.org/spreadsheetml/2006/main" count="20" uniqueCount="20">
  <si>
    <t>NOMBRE DEL ALUMNO</t>
  </si>
  <si>
    <t>MATEMATICAS</t>
  </si>
  <si>
    <t>ESPAÑOL</t>
  </si>
  <si>
    <t>HISTORIA</t>
  </si>
  <si>
    <t>GEOGRAFÍA</t>
  </si>
  <si>
    <t>PROMEDIO CON FUNCIÓN</t>
  </si>
  <si>
    <t>PROMEDIO CON FÓRMULA</t>
  </si>
  <si>
    <t>PROMEDIO CON MACROS</t>
  </si>
  <si>
    <t>Eduardo</t>
  </si>
  <si>
    <t>Nancy</t>
  </si>
  <si>
    <t>ESTATUS CON FUN</t>
  </si>
  <si>
    <t>ESTATUS CON MARCOS</t>
  </si>
  <si>
    <t>Nayeli</t>
  </si>
  <si>
    <t>Alejandro</t>
  </si>
  <si>
    <t>ESTATUS CON FORMULA</t>
  </si>
  <si>
    <t>PAOLA</t>
  </si>
  <si>
    <t>REPROBADO</t>
  </si>
  <si>
    <t>EDAD</t>
  </si>
  <si>
    <t>MAYOR O MENOR DE EDAD(FUNCION)</t>
  </si>
  <si>
    <t>MAYOR O MENOR DE EDAD(MACROS)</t>
  </si>
</sst>
</file>

<file path=xl/styles.xml><?xml version="1.0" encoding="utf-8"?>
<styleSheet xmlns="http://schemas.openxmlformats.org/spreadsheetml/2006/main">
  <numFmts count="3">
    <numFmt numFmtId="8" formatCode="&quot;$&quot;#,##0.00;[Red]\-&quot;$&quot;#,##0.00"/>
    <numFmt numFmtId="44" formatCode="_-&quot;$&quot;* #,##0.00_-;\-&quot;$&quot;* #,##0.00_-;_-&quot;$&quot;* &quot;-&quot;??_-;_-@_-"/>
    <numFmt numFmtId="172" formatCode="_-&quot;$&quot;* #,##0.00000_-;\-&quot;$&quot;* #,##0.00000_-;_-&quot;$&quot;* &quot;-&quot;??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 wrapText="1"/>
    </xf>
    <xf numFmtId="8" fontId="0" fillId="0" borderId="0" xfId="0" applyNumberFormat="1"/>
    <xf numFmtId="9" fontId="0" fillId="0" borderId="0" xfId="0" applyNumberFormat="1"/>
    <xf numFmtId="172" fontId="0" fillId="0" borderId="0" xfId="1" applyNumberFormat="1" applyFont="1"/>
    <xf numFmtId="8" fontId="2" fillId="0" borderId="0" xfId="0" applyNumberFormat="1" applyFont="1"/>
  </cellXfs>
  <cellStyles count="2">
    <cellStyle name="Moneda" xfId="1" builtinId="4"/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66675</xdr:colOff>
      <xdr:row>2</xdr:row>
      <xdr:rowOff>161924</xdr:rowOff>
    </xdr:to>
    <xdr:pic>
      <xdr:nvPicPr>
        <xdr:cNvPr id="4" name="3 Imagen"/>
        <xdr:cNvPicPr/>
      </xdr:nvPicPr>
      <xdr:blipFill>
        <a:blip xmlns:r="http://schemas.openxmlformats.org/officeDocument/2006/relationships" r:embed="rId1" cstate="print"/>
        <a:srcRect l="18960" t="45833" r="19180" b="45183"/>
        <a:stretch>
          <a:fillRect/>
        </a:stretch>
      </xdr:blipFill>
      <xdr:spPr bwMode="auto">
        <a:xfrm>
          <a:off x="0" y="0"/>
          <a:ext cx="6953250" cy="54292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N6"/>
  <sheetViews>
    <sheetView zoomScale="70" zoomScaleNormal="70" workbookViewId="0">
      <selection activeCell="D2" sqref="D2"/>
    </sheetView>
  </sheetViews>
  <sheetFormatPr baseColWidth="10" defaultRowHeight="15"/>
  <cols>
    <col min="1" max="2" width="13.28515625" customWidth="1"/>
    <col min="3" max="3" width="18.7109375" bestFit="1" customWidth="1"/>
    <col min="4" max="4" width="13.28515625" customWidth="1"/>
    <col min="5" max="5" width="14" bestFit="1" customWidth="1"/>
    <col min="6" max="6" width="9.140625" bestFit="1" customWidth="1"/>
    <col min="7" max="7" width="9.28515625" bestFit="1" customWidth="1"/>
    <col min="8" max="8" width="11.28515625" bestFit="1" customWidth="1"/>
    <col min="9" max="9" width="10.7109375" bestFit="1" customWidth="1"/>
    <col min="10" max="10" width="15.5703125" customWidth="1"/>
    <col min="12" max="12" width="13.5703125" bestFit="1" customWidth="1"/>
    <col min="13" max="13" width="15.140625" customWidth="1"/>
  </cols>
  <sheetData>
    <row r="1" spans="1:14" ht="60">
      <c r="A1" s="1" t="s">
        <v>0</v>
      </c>
      <c r="B1" s="1" t="s">
        <v>17</v>
      </c>
      <c r="C1" s="1" t="s">
        <v>18</v>
      </c>
      <c r="D1" s="1" t="s">
        <v>19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6</v>
      </c>
      <c r="J1" s="1" t="s">
        <v>10</v>
      </c>
      <c r="K1" s="1" t="s">
        <v>5</v>
      </c>
      <c r="L1" s="1" t="s">
        <v>14</v>
      </c>
      <c r="M1" s="1" t="s">
        <v>11</v>
      </c>
      <c r="N1" s="1" t="s">
        <v>7</v>
      </c>
    </row>
    <row r="2" spans="1:14">
      <c r="A2" t="s">
        <v>8</v>
      </c>
      <c r="B2">
        <v>30</v>
      </c>
      <c r="C2" t="str">
        <f>IF(B2&gt;=18,"MAYOR DE EDAD","MENOR DE EDAD")</f>
        <v>MAYOR DE EDAD</v>
      </c>
      <c r="E2">
        <v>3</v>
      </c>
      <c r="F2">
        <v>3</v>
      </c>
      <c r="G2">
        <v>7</v>
      </c>
      <c r="H2">
        <v>9</v>
      </c>
      <c r="I2">
        <f>(E2+F2+G2+H2)/4</f>
        <v>5.5</v>
      </c>
      <c r="J2" t="str">
        <f>IF(I2&gt;=6,"APROBADO","REPROBADO")</f>
        <v>REPROBADO</v>
      </c>
      <c r="K2">
        <f>AVERAGE(E2:I2)</f>
        <v>5.5</v>
      </c>
      <c r="L2" t="str">
        <f>IF(I2&gt;=6,"APROBADO","REPORBADO")</f>
        <v>REPORBADO</v>
      </c>
      <c r="M2" t="s">
        <v>16</v>
      </c>
      <c r="N2">
        <v>8.5</v>
      </c>
    </row>
    <row r="3" spans="1:14">
      <c r="A3" t="s">
        <v>9</v>
      </c>
      <c r="B3">
        <v>20</v>
      </c>
      <c r="C3" t="str">
        <f t="shared" ref="C3:C6" si="0">IF(B3&gt;=18,"MAYOR DE EDAD","MENOR DE EDAD")</f>
        <v>MAYOR DE EDAD</v>
      </c>
      <c r="E3">
        <v>9</v>
      </c>
      <c r="F3">
        <v>10</v>
      </c>
      <c r="G3">
        <v>8</v>
      </c>
      <c r="H3">
        <v>8</v>
      </c>
      <c r="I3">
        <f t="shared" ref="I3:I6" si="1">(E3+F3+G3+H3)/4</f>
        <v>8.75</v>
      </c>
      <c r="J3" t="str">
        <f t="shared" ref="J3:J6" si="2">IF(I3&gt;=6,"APROBADO","REPROBADO")</f>
        <v>APROBADO</v>
      </c>
      <c r="K3">
        <f>AVERAGE(E3:I3)</f>
        <v>8.75</v>
      </c>
      <c r="L3" t="str">
        <f t="shared" ref="L3:L6" si="3">IF(I3&gt;=6,"APROBADO","REPORBADO")</f>
        <v>APROBADO</v>
      </c>
    </row>
    <row r="4" spans="1:14">
      <c r="A4" t="s">
        <v>12</v>
      </c>
      <c r="B4">
        <v>20</v>
      </c>
      <c r="C4" t="str">
        <f t="shared" si="0"/>
        <v>MAYOR DE EDAD</v>
      </c>
      <c r="E4">
        <v>9</v>
      </c>
      <c r="F4">
        <v>8</v>
      </c>
      <c r="G4">
        <v>9</v>
      </c>
      <c r="H4">
        <v>7</v>
      </c>
      <c r="I4">
        <f t="shared" si="1"/>
        <v>8.25</v>
      </c>
      <c r="J4" t="str">
        <f t="shared" si="2"/>
        <v>APROBADO</v>
      </c>
      <c r="K4">
        <f>AVERAGE(E4:I4)</f>
        <v>8.25</v>
      </c>
      <c r="L4" t="str">
        <f t="shared" si="3"/>
        <v>APROBADO</v>
      </c>
    </row>
    <row r="5" spans="1:14">
      <c r="A5" t="s">
        <v>13</v>
      </c>
      <c r="B5">
        <v>15</v>
      </c>
      <c r="C5" t="str">
        <f t="shared" si="0"/>
        <v>MENOR DE EDAD</v>
      </c>
      <c r="E5">
        <v>3</v>
      </c>
      <c r="F5">
        <v>2</v>
      </c>
      <c r="G5">
        <v>5</v>
      </c>
      <c r="H5">
        <v>7</v>
      </c>
      <c r="I5">
        <f t="shared" si="1"/>
        <v>4.25</v>
      </c>
      <c r="J5" t="str">
        <f t="shared" si="2"/>
        <v>REPROBADO</v>
      </c>
      <c r="K5">
        <f>AVERAGE(E5:I5)</f>
        <v>4.25</v>
      </c>
      <c r="L5" t="str">
        <f t="shared" si="3"/>
        <v>REPORBADO</v>
      </c>
    </row>
    <row r="6" spans="1:14">
      <c r="A6" t="s">
        <v>15</v>
      </c>
      <c r="B6">
        <v>30</v>
      </c>
      <c r="C6" t="str">
        <f t="shared" si="0"/>
        <v>MAYOR DE EDAD</v>
      </c>
      <c r="E6">
        <v>6</v>
      </c>
      <c r="F6">
        <v>6</v>
      </c>
      <c r="G6">
        <v>6</v>
      </c>
      <c r="H6">
        <v>6</v>
      </c>
      <c r="I6">
        <f t="shared" si="1"/>
        <v>6</v>
      </c>
      <c r="J6" t="str">
        <f t="shared" si="2"/>
        <v>APROBADO</v>
      </c>
      <c r="K6">
        <f>AVERAGE(E6:I6)</f>
        <v>6</v>
      </c>
      <c r="L6" t="str">
        <f t="shared" si="3"/>
        <v>APROBADO</v>
      </c>
    </row>
  </sheetData>
  <conditionalFormatting sqref="J2:J6">
    <cfRule type="containsText" dxfId="1" priority="1" operator="containsText" text="REPROBADO">
      <formula>NOT(ISERROR(SEARCH("REPROBADO",J2)))</formula>
    </cfRule>
    <cfRule type="containsText" dxfId="0" priority="2" operator="containsText" text="APROBADO">
      <formula>NOT(ISERROR(SEARCH("APROBADO",J2)))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2:L4"/>
  <sheetViews>
    <sheetView tabSelected="1" workbookViewId="0">
      <selection activeCell="K1" sqref="K1:L4"/>
    </sheetView>
  </sheetViews>
  <sheetFormatPr baseColWidth="10" defaultRowHeight="15"/>
  <cols>
    <col min="6" max="6" width="11.85546875" bestFit="1" customWidth="1"/>
  </cols>
  <sheetData>
    <row r="2" spans="2:12">
      <c r="K2" s="4"/>
      <c r="L2" s="3"/>
    </row>
    <row r="4" spans="2:12">
      <c r="B4">
        <v>31</v>
      </c>
      <c r="C4" s="2">
        <v>250</v>
      </c>
      <c r="D4" s="2">
        <f>C4*B4</f>
        <v>7750</v>
      </c>
      <c r="E4" s="2">
        <f>D4*0.16</f>
        <v>1240</v>
      </c>
      <c r="F4" s="2">
        <f>SUM(D4:E4)</f>
        <v>8990</v>
      </c>
      <c r="G4" s="2">
        <f>2/3*E4</f>
        <v>826.66666666666663</v>
      </c>
      <c r="H4" s="2">
        <f>D4*0.1</f>
        <v>775</v>
      </c>
      <c r="I4" s="5">
        <f>F4-G4-H4</f>
        <v>7388.333333333333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Nómina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Nancy</cp:lastModifiedBy>
  <dcterms:created xsi:type="dcterms:W3CDTF">2022-02-19T00:08:12Z</dcterms:created>
  <dcterms:modified xsi:type="dcterms:W3CDTF">2022-02-23T02:03:39Z</dcterms:modified>
</cp:coreProperties>
</file>